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7ae20254fc41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ample" sheetId="1" r:id="Rf01f1e86417a4801"/>
    <x:sheet xmlns:r="http://schemas.openxmlformats.org/officeDocument/2006/relationships" name="Activity" sheetId="2" r:id="R103854ad1dd14c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0"/>
    <x:numFmt numFmtId="201" formatCode="0.00%"/>
    <x:numFmt numFmtId="202" formatCode="0"/>
    <x:numFmt numFmtId="203" formatCode="0.0"/>
    <x:numFmt numFmtId="204" formatCode="#,##0.00;[Red](#,##0.00);&quot;—&quot;"/>
    <x:numFmt numFmtId="205" formatCode="0.000000;[Red](0.000000);&quot;—&quot;"/>
    <x:numFmt numFmtId="206" formatCode="@"/>
  </x:numFmts>
  <x:fonts count="5">
    <x:font>
      <x:sz val="11"/>
      <x:name val="Carlito"/>
    </x:font>
    <x:font>
      <x:sz val="11"/>
      <x:name val="Arial"/>
    </x:font>
    <x:font>
      <x:b/>
      <x:sz val="16"/>
      <x:name val="Arial"/>
    </x:font>
    <x:font>
      <x:b/>
      <x:sz val="11"/>
      <x:color rgb="FFFFFFFF"/>
      <x:name val="Arial"/>
    </x:font>
    <x:font>
      <x:sz val="11"/>
      <x:color rgb="FF1767B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6B1A2B"/>
      </x:patternFill>
    </x:fill>
    <x:fill>
      <x:patternFill patternType="solid">
        <x:fgColor rgb="FFFFF4D6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200" fontId="1" fillId="0" borderId="0" xfId="0" applyNumberFormat="1" applyFont="1" applyFill="1" applyBorder="1"/>
    <x:xf numFmtId="200" fontId="3" fillId="2" borderId="0" xfId="0" applyNumberFormat="1" applyFont="1" applyFill="1" applyBorder="1"/>
    <x:xf numFmtId="201" fontId="4" fillId="3" borderId="0" xfId="0" applyNumberFormat="1" applyFont="1" applyFill="1" applyBorder="1"/>
    <x:xf numFmtId="201" fontId="1" fillId="0" borderId="0" xfId="0" applyNumberFormat="1" applyFont="1" applyFill="1" applyBorder="1"/>
    <x:xf numFmtId="202" fontId="4" fillId="3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200" fontId="1" fillId="4" borderId="0" xfId="0" applyNumberFormat="1" applyFont="1" applyFill="1" applyBorder="1"/>
    <x:xf numFmtId="202" fontId="1" fillId="4" borderId="0" xfId="0" applyNumberFormat="1" applyFont="1" applyFill="1" applyBorder="1"/>
    <x:xf numFmtId="201" fontId="1" fillId="4" borderId="0" xfId="0" applyNumberFormat="1" applyFont="1" applyFill="1" applyBorder="1"/>
    <x:xf numFmtId="201" fontId="1" fillId="3" borderId="0" xfId="0" applyNumberFormat="1" applyFont="1" applyFill="1" applyBorder="1"/>
    <x:xf numFmtId="206" fontId="1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6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2fab5001ff4d37" /><Relationship Type="http://schemas.openxmlformats.org/officeDocument/2006/relationships/theme" Target="/xl/theme/theme1.xml" Id="R7dd6cade423a419f" /><Relationship Type="http://schemas.openxmlformats.org/officeDocument/2006/relationships/sharedStrings" Target="/xl/sharedStrings.xml" Id="Rdb7e052f984646e2" /><Relationship Type="http://schemas.openxmlformats.org/officeDocument/2006/relationships/worksheet" Target="/xl/worksheets/sheet1.xml" Id="Rf01f1e86417a4801" /><Relationship Type="http://schemas.openxmlformats.org/officeDocument/2006/relationships/worksheet" Target="/xl/worksheets/sheet2.xml" Id="R103854ad1dd14c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9" hidden="0" customWidth="1"/>
    <x:col min="3" max="3" width="30" hidden="0" customWidth="1"/>
    <x:col min="4" max="4" width="30" hidden="0" customWidth="1"/>
    <x:col min="5" max="5" width="22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Lecture 10: Example</x:v>
      </x:c>
      <x:c r="B2" s="1"/>
      <x:c r="C2" s="1"/>
      <x:c r="D2" s="1"/>
      <x:c r="E2" s="1"/>
      <x:c r="F2" s="1"/>
    </x:row>
    <x:row r="3" ht="23" customHeight="1">
      <x:c r="A3" s="1"/>
      <x:c r="B3" s="1"/>
      <x:c r="C3" s="1"/>
      <x:c r="D3" s="1"/>
      <x:c r="E3" s="1"/>
      <x:c r="F3" s="1"/>
    </x:row>
    <x:row r="4" ht="23" customHeight="1">
      <x:c r="A4" s="4" t="str">
        <x:v>Input</x:v>
      </x:c>
      <x:c r="B4" s="4" t="str">
        <x:v>Value</x:v>
      </x:c>
      <x:c r="C4" s="1"/>
      <x:c r="D4" s="1"/>
      <x:c r="E4" s="1"/>
      <x:c r="F4" s="1"/>
    </x:row>
    <x:row r="5" ht="23" customHeight="1">
      <x:c r="A5" s="1" t="str">
        <x:v>Face value ($)</x:v>
      </x:c>
      <x:c r="B5" s="7" t="n">
        <x:v>1000</x:v>
      </x:c>
      <x:c r="C5" s="1"/>
      <x:c r="D5" s="1" t="str">
        <x:v>Hypothetical classroom bond. Settlement on a coupon date.</x:v>
      </x:c>
      <x:c r="E5" s="1"/>
      <x:c r="F5" s="1"/>
    </x:row>
    <x:row r="6" ht="23" customHeight="1">
      <x:c r="A6" s="1" t="str">
        <x:v>Annual coupon rate</x:v>
      </x:c>
      <x:c r="B6" s="10" t="n">
        <x:v>0.06</x:v>
      </x:c>
      <x:c r="C6" s="1"/>
      <x:c r="D6" s="1"/>
      <x:c r="E6" s="1"/>
      <x:c r="F6" s="1"/>
    </x:row>
    <x:row r="7" ht="23" customHeight="1">
      <x:c r="A7" s="1" t="str">
        <x:v>Market rates</x:v>
      </x:c>
      <x:c r="B7" s="7" t="str">
        <x:v>See table below</x:v>
      </x:c>
      <x:c r="C7" s="1"/>
      <x:c r="D7" s="1" t="str">
        <x:v>Enter each annual spot rate directly in the table.</x:v>
      </x:c>
      <x:c r="E7" s="1"/>
      <x:c r="F7" s="1"/>
    </x:row>
    <x:row r="8" ht="23" customHeight="1">
      <x:c r="A8" s="1" t="str">
        <x:v>Years to maturity</x:v>
      </x:c>
      <x:c r="B8" s="12" t="n">
        <x:v>2</x:v>
      </x:c>
      <x:c r="C8" s="1"/>
      <x:c r="D8" s="1"/>
      <x:c r="E8" s="1"/>
      <x:c r="F8" s="1"/>
    </x:row>
    <x:row r="9" ht="23" customHeight="1">
      <x:c r="A9" s="1" t="str">
        <x:v>Payments per year</x:v>
      </x:c>
      <x:c r="B9" s="12" t="n">
        <x:v>2</x:v>
      </x:c>
      <x:c r="C9" s="1"/>
      <x:c r="D9" s="1" t="str">
        <x:v>Annual spot rates use semiannual compounding.</x:v>
      </x:c>
      <x:c r="E9" s="1"/>
      <x:c r="F9" s="1"/>
    </x:row>
    <x:row r="10" ht="23" customHeight="1">
      <x:c r="A10" s="1" t="str"/>
      <x:c r="B10" s="7"/>
      <x:c r="C10" s="1"/>
      <x:c r="D10" s="1"/>
      <x:c r="E10" s="1"/>
      <x:c r="F10" s="1"/>
    </x:row>
    <x:row r="11" ht="23" customHeight="1">
      <x:c r="A11" s="1"/>
      <x:c r="B11" s="8"/>
      <x:c r="C11" s="1"/>
      <x:c r="D11" s="1" t="str">
        <x:v>Both bonds: $1,000 face value, 2 years, semiannual coupons.</x:v>
      </x:c>
      <x:c r="E11" s="1"/>
      <x:c r="F11" s="1"/>
    </x:row>
    <x:row r="12" ht="23" customHeight="1">
      <x:c r="A12" s="4" t="str">
        <x:v>Calculation</x:v>
      </x:c>
      <x:c r="B12" s="9" t="str">
        <x:v>Answer</x:v>
      </x:c>
      <x:c r="C12" s="4" t="str">
        <x:v>Suggested formula</x:v>
      </x:c>
      <x:c r="D12" s="1"/>
      <x:c r="E12" s="1"/>
      <x:c r="F12" s="1"/>
    </x:row>
    <x:row r="13" ht="23" customHeight="1">
      <x:c r="A13" s="1" t="str">
        <x:v>a) Coupon payment</x:v>
      </x:c>
      <x:c r="B13" s="17"/>
      <x:c r="C13" s="1" t="str">
        <x:v>=B5*B6/B9</x:v>
      </x:c>
      <x:c r="D13" s="1"/>
      <x:c r="E13" s="1"/>
      <x:c r="F13" s="1"/>
    </x:row>
    <x:row r="14" ht="23" customHeight="1">
      <x:c r="A14" s="1" t="str">
        <x:v>b) Number of payments</x:v>
      </x:c>
      <x:c r="B14" s="18"/>
      <x:c r="C14" s="1" t="str">
        <x:v>=B8*B9</x:v>
      </x:c>
      <x:c r="D14" s="1"/>
      <x:c r="E14" s="1"/>
      <x:c r="F14" s="1"/>
    </x:row>
    <x:row r="15" ht="23" customHeight="1">
      <x:c r="A15" s="1" t="str">
        <x:v>c) Price</x:v>
      </x:c>
      <x:c r="B15" s="17"/>
      <x:c r="C15" s="1" t="str">
        <x:v>=SUM(E21:E24)</x:v>
      </x:c>
      <x:c r="D15" s="1"/>
      <x:c r="E15" s="1"/>
      <x:c r="F15" s="1"/>
    </x:row>
    <x:row r="16" ht="23" customHeight="1">
      <x:c r="A16" s="1" t="str">
        <x:v>d) Annual YTM</x:v>
      </x:c>
      <x:c r="B16" s="19"/>
      <x:c r="C16" s="1" t="str">
        <x:v>=RATE(B14,B13,-B15,B5)*B9</x:v>
      </x:c>
      <x:c r="D16" s="1"/>
      <x:c r="E16" s="1"/>
      <x:c r="F16" s="1"/>
    </x:row>
    <x:row r="17" ht="23" customHeight="1">
      <x:c r="A17" s="1"/>
      <x:c r="B17" s="21"/>
      <x:c r="C17" s="1"/>
      <x:c r="D17" s="1"/>
      <x:c r="E17" s="1"/>
      <x:c r="F17" s="1"/>
    </x:row>
    <x:row r="18" ht="23" customHeight="1">
      <x:c r="A18" s="1"/>
      <x:c r="B18" s="1"/>
      <x:c r="C18" s="1"/>
      <x:c r="D18" s="1"/>
      <x:c r="E18" s="1"/>
      <x:c r="F18" s="1"/>
    </x:row>
    <x:row r="19" ht="23" customHeight="1">
      <x:c r="A19" s="1" t="str">
        <x:v>Cash flows by maturity (years)</x:v>
      </x:c>
      <x:c r="B19" s="1"/>
      <x:c r="C19" s="1"/>
      <x:c r="D19" s="1"/>
      <x:c r="E19" s="1"/>
      <x:c r="F19" s="1"/>
    </x:row>
    <x:row r="20" ht="23" customHeight="1">
      <x:c r="A20" s="4" t="str">
        <x:v>Maturity (years)</x:v>
      </x:c>
      <x:c r="B20" s="4" t="str">
        <x:v>Annual spot rate</x:v>
      </x:c>
      <x:c r="C20" s="4" t="str">
        <x:v>Cash flow ($)</x:v>
      </x:c>
      <x:c r="D20" s="4" t="str">
        <x:v>Discount factor</x:v>
      </x:c>
      <x:c r="E20" s="4" t="str">
        <x:v>Present value ($)</x:v>
      </x:c>
      <x:c r="F20" s="1"/>
    </x:row>
    <x:row r="21" ht="23" customHeight="1">
      <x:c r="A21" s="14" t="n">
        <x:f>IF(1&lt;=$B$8*$B$9,1/$B$9,"")</x:f>
        <x:v>0.5</x:v>
      </x:c>
      <x:c r="B21" s="10" t="n">
        <x:v>0.06</x:v>
      </x:c>
      <x:c r="C21" s="15" t="str">
        <x:f>IF(OR(A21="",$B$13="",$B$14=""),"",$B$13+IF(A21*$B$9=$B$14,$B$5,0))</x:f>
      </x:c>
      <x:c r="D21" s="16" t="n">
        <x:f>IF(A21="","",1/(1+B21/$B$9)^(A21*$B$9))</x:f>
        <x:v>0.970873786407767</x:v>
      </x:c>
      <x:c r="E21" s="15" t="str">
        <x:f>IF(C21="","",C21*D21)</x:f>
      </x:c>
      <x:c r="F21" s="1"/>
    </x:row>
    <x:row r="22" ht="23" customHeight="1">
      <x:c r="A22" s="14" t="n">
        <x:f>IF(2&lt;=$B$8*$B$9,2/$B$9,"")</x:f>
        <x:v>1</x:v>
      </x:c>
      <x:c r="B22" s="10" t="n">
        <x:v>0.065</x:v>
      </x:c>
      <x:c r="C22" s="15" t="str">
        <x:f>IF(OR(A22="",$B$13="",$B$14=""),"",$B$13+IF(A22*$B$9=$B$14,$B$5,0))</x:f>
      </x:c>
      <x:c r="D22" s="16" t="n">
        <x:f>IF(A22="","",1/(1+B22/$B$9)^(A22*$B$9))</x:f>
        <x:v>0.9380368062191841</x:v>
      </x:c>
      <x:c r="E22" s="15" t="str">
        <x:f>IF(C22="","",C22*D22)</x:f>
      </x:c>
      <x:c r="F22" s="1"/>
    </x:row>
    <x:row r="23" ht="23" customHeight="1">
      <x:c r="A23" s="14" t="n">
        <x:f>IF(3&lt;=$B$8*$B$9,3/$B$9,"")</x:f>
        <x:v>1.5</x:v>
      </x:c>
      <x:c r="B23" s="10" t="n">
        <x:v>0.07</x:v>
      </x:c>
      <x:c r="C23" s="15" t="str">
        <x:f>IF(OR(A23="",$B$13="",$B$14=""),"",$B$13+IF(A23*$B$9=$B$14,$B$5,0))</x:f>
      </x:c>
      <x:c r="D23" s="16" t="n">
        <x:f>IF(A23="","",1/(1+B23/$B$9)^(A23*$B$9))</x:f>
        <x:v>0.9019427056680224</x:v>
      </x:c>
      <x:c r="E23" s="15" t="str">
        <x:f>IF(C23="","",C23*D23)</x:f>
      </x:c>
      <x:c r="F23" s="1"/>
    </x:row>
    <x:row r="24" ht="23" customHeight="1">
      <x:c r="A24" s="14" t="n">
        <x:f>IF(4&lt;=$B$8*$B$9,4/$B$9,"")</x:f>
        <x:v>2</x:v>
      </x:c>
      <x:c r="B24" s="10" t="n">
        <x:v>0.075</x:v>
      </x:c>
      <x:c r="C24" s="15" t="str">
        <x:f>IF(OR(A24="",$B$13="",$B$14=""),"",$B$13+IF(A24*$B$9=$B$14,$B$5,0))</x:f>
      </x:c>
      <x:c r="D24" s="16" t="n">
        <x:f>IF(A24="","",1/(1+B24/$B$9)^(A24*$B$9))</x:f>
        <x:v>0.8630730952323405</x:v>
      </x:c>
      <x:c r="E24" s="15" t="str">
        <x:f>IF(C24="","",C24*D24)</x:f>
      </x:c>
      <x:c r="F24" s="1"/>
    </x:row>
    <x:row r="25" ht="23" customHeight="1">
      <x:c r="A25" s="14"/>
      <x:c r="B25" s="11"/>
      <x:c r="C25" s="15"/>
      <x:c r="D25" s="16"/>
      <x:c r="E25" s="15"/>
      <x:c r="F25" s="1"/>
    </x:row>
    <x:row r="26" ht="23" customHeight="1">
      <x:c r="A26" s="14"/>
      <x:c r="B26" s="11"/>
      <x:c r="C26" s="15"/>
      <x:c r="D26" s="16"/>
      <x:c r="E26" s="15"/>
      <x:c r="F26" s="1"/>
    </x:row>
    <x:row r="27" ht="23" customHeight="1">
      <x:c r="A27" s="14"/>
      <x:c r="B27" s="11"/>
      <x:c r="C27" s="15"/>
      <x:c r="D27" s="16"/>
      <x:c r="E27" s="15"/>
      <x:c r="F27" s="1"/>
    </x:row>
    <x:row r="28" ht="23" customHeight="1">
      <x:c r="A28" s="14"/>
      <x:c r="B28" s="11"/>
      <x:c r="C28" s="15"/>
      <x:c r="D28" s="16"/>
      <x:c r="E28" s="15"/>
      <x:c r="F28" s="1"/>
    </x:row>
    <x:row r="29" ht="23" customHeight="1">
      <x:c r="A29" s="1"/>
      <x:c r="B29" s="1"/>
      <x:c r="C29" s="1"/>
      <x:c r="D29" s="1"/>
      <x:c r="E29" s="1"/>
      <x:c r="F29" s="1"/>
    </x:row>
    <x:row r="30" ht="23" customHeight="1">
      <x:c r="A30" s="1"/>
      <x:c r="B30" s="1"/>
      <x:c r="C30" s="1"/>
      <x:c r="D30" s="1"/>
      <x:c r="E30" s="1"/>
      <x:c r="F30" s="1"/>
    </x:row>
    <x:row r="31" ht="23" customHeight="1">
      <x:c r="A31" s="1"/>
      <x:c r="B31" s="1"/>
      <x:c r="C31" s="1"/>
      <x:c r="D31" s="1"/>
      <x:c r="E31" s="1"/>
      <x:c r="F31" s="1"/>
    </x:row>
    <x:row r="32" ht="23" customHeight="1">
      <x:c r="A32" s="1"/>
      <x:c r="B32" s="1"/>
      <x:c r="C32" s="1"/>
      <x:c r="D32" s="1"/>
      <x:c r="E32" s="1"/>
      <x:c r="F32" s="1"/>
    </x:row>
    <x:row r="33" ht="23" customHeight="1">
      <x:c r="A33" s="1"/>
      <x:c r="B33" s="1"/>
      <x:c r="C33" s="1"/>
      <x:c r="D33" s="1"/>
      <x:c r="E33" s="1"/>
      <x:c r="F33" s="1"/>
    </x:row>
    <x:row r="34" ht="23" customHeight="1">
      <x:c r="A34" s="1"/>
      <x:c r="B34" s="1"/>
      <x:c r="C34" s="1"/>
      <x:c r="D34" s="1"/>
      <x:c r="E34" s="1"/>
      <x:c r="F34" s="1"/>
    </x:row>
    <x:row r="35" ht="23" customHeight="1">
      <x:c r="A35" s="1"/>
      <x:c r="B35" s="1"/>
      <x:c r="C35" s="1"/>
      <x:c r="D35" s="1"/>
      <x:c r="E35" s="1"/>
      <x:c r="F35" s="1"/>
    </x:row>
    <x:row r="36" ht="23" customHeight="1">
      <x:c r="A36" s="1"/>
      <x:c r="B36" s="1"/>
      <x:c r="C36" s="1"/>
      <x:c r="D36" s="1"/>
      <x:c r="E36" s="1"/>
      <x:c r="F36" s="1"/>
    </x:row>
    <x:row r="37" ht="23" customHeight="1">
      <x:c r="A37" s="1"/>
      <x:c r="B37" s="1"/>
      <x:c r="C37" s="1"/>
      <x:c r="D37" s="1"/>
      <x:c r="E37" s="1"/>
      <x:c r="F37" s="1"/>
    </x:row>
    <x:row r="38" ht="23" customHeight="1">
      <x:c r="A38" s="1"/>
      <x:c r="B38" s="1"/>
      <x:c r="C38" s="1"/>
      <x:c r="D38" s="1"/>
      <x:c r="E38" s="1"/>
      <x:c r="F38" s="1"/>
    </x:row>
    <x:row r="39" ht="23" customHeight="1">
      <x:c r="A39" s="1"/>
      <x:c r="B39" s="1"/>
      <x:c r="C39" s="1"/>
      <x:c r="D39" s="1"/>
      <x:c r="E39" s="1"/>
      <x:c r="F39" s="1"/>
    </x:row>
    <x:row r="40" ht="23" customHeight="1">
      <x:c r="A40" s="1"/>
      <x:c r="B40" s="1"/>
      <x:c r="C40" s="1"/>
      <x:c r="D40" s="1"/>
      <x:c r="E40" s="1"/>
      <x:c r="F40" s="1"/>
    </x:row>
    <x:row r="41" ht="23" customHeight="1">
      <x:c r="A41" s="1"/>
      <x:c r="B41" s="1"/>
      <x:c r="C41" s="1"/>
      <x:c r="D41" s="1"/>
      <x:c r="E41" s="1"/>
      <x:c r="F41" s="1"/>
    </x:row>
    <x:row r="42" ht="23" customHeight="1">
      <x:c r="A42" s="1"/>
      <x:c r="B42" s="1"/>
      <x:c r="C42" s="1"/>
      <x:c r="D42" s="1"/>
      <x:c r="E42" s="1"/>
      <x:c r="F42" s="1"/>
    </x:row>
    <x:row r="43" ht="23" customHeight="1">
      <x:c r="A43" s="1"/>
      <x:c r="B43" s="1"/>
      <x:c r="C43" s="1"/>
      <x:c r="D43" s="1"/>
      <x:c r="E43" s="1"/>
      <x:c r="F43" s="1"/>
    </x:row>
    <x:row r="44" ht="23" customHeight="1">
      <x:c r="A44" s="1"/>
      <x:c r="B44" s="1"/>
      <x:c r="C44" s="1"/>
      <x:c r="D44" s="1"/>
      <x:c r="E44" s="1"/>
      <x:c r="F44" s="1"/>
    </x:row>
    <x:row r="45" ht="23" customHeight="1">
      <x:c r="A45" s="1"/>
      <x:c r="B45" s="1"/>
      <x:c r="C45" s="1"/>
      <x:c r="D45" s="1"/>
      <x:c r="E45" s="1"/>
      <x:c r="F45" s="1"/>
    </x:row>
    <x:row r="46" ht="23" customHeight="1">
      <x:c r="A46" s="1"/>
      <x:c r="B46" s="1"/>
      <x:c r="C46" s="1"/>
      <x:c r="D46" s="1"/>
      <x:c r="E46" s="1"/>
      <x:c r="F46" s="1"/>
    </x:row>
    <x:row r="47" ht="23" customHeight="1">
      <x:c r="A47" s="1"/>
      <x:c r="B47" s="1"/>
      <x:c r="C47" s="1"/>
      <x:c r="D47" s="1"/>
      <x:c r="E47" s="1"/>
      <x:c r="F47" s="1"/>
    </x:row>
    <x:row r="48" ht="23" customHeight="1">
      <x:c r="A48" s="1"/>
      <x:c r="B48" s="1"/>
      <x:c r="C48" s="1"/>
      <x:c r="D48" s="1"/>
      <x:c r="E48" s="1"/>
      <x:c r="F48" s="1"/>
    </x:row>
    <x:row r="49" ht="23" customHeight="1">
      <x:c r="A49" s="1"/>
      <x:c r="B49" s="1"/>
      <x:c r="C49" s="1"/>
      <x:c r="D49" s="1"/>
      <x:c r="E49" s="1"/>
      <x:c r="F49" s="1"/>
    </x:row>
    <x:row r="50" ht="23" customHeight="1">
      <x:c r="A50" s="1"/>
      <x:c r="B50" s="1"/>
      <x:c r="C50" s="1"/>
      <x:c r="D50" s="1"/>
      <x:c r="E50" s="1"/>
      <x:c r="F50" s="1"/>
    </x:row>
    <x:row r="51" ht="23" customHeight="1">
      <x:c r="A51" s="1"/>
      <x:c r="B51" s="1"/>
      <x:c r="C51" s="1"/>
      <x:c r="D51" s="1"/>
      <x:c r="E51" s="1"/>
      <x:c r="F51" s="1"/>
    </x:row>
    <x:row r="52" ht="23" customHeight="1">
      <x:c r="A52" s="1"/>
      <x:c r="B52" s="1"/>
      <x:c r="C52" s="1"/>
      <x:c r="D52" s="1"/>
      <x:c r="E52" s="1"/>
      <x:c r="F52" s="1"/>
    </x:row>
    <x:row r="53" ht="23" customHeight="1">
      <x:c r="A53" s="1"/>
      <x:c r="B53" s="1"/>
      <x:c r="C53" s="1"/>
      <x:c r="D53" s="1"/>
      <x:c r="E53" s="1"/>
      <x:c r="F53" s="1"/>
    </x:row>
    <x:row r="54" ht="23" customHeight="1">
      <x:c r="A54" s="1"/>
      <x:c r="B54" s="1"/>
      <x:c r="C54" s="1"/>
      <x:c r="D54" s="1"/>
      <x:c r="E54" s="1"/>
      <x:c r="F54" s="1"/>
    </x:row>
    <x:row r="55" ht="23" customHeight="1">
      <x:c r="A55" s="1"/>
      <x:c r="B55" s="1"/>
      <x:c r="C55" s="1"/>
      <x:c r="D55" s="1"/>
      <x:c r="E55" s="1"/>
      <x:c r="F55" s="1"/>
    </x:row>
    <x:row r="56" ht="23" customHeight="1">
      <x:c r="A56" s="1"/>
      <x:c r="B56" s="1"/>
      <x:c r="C56" s="1"/>
      <x:c r="D56" s="1"/>
      <x:c r="E56" s="1"/>
      <x:c r="F56" s="1"/>
    </x:row>
    <x:row r="57" ht="23" customHeight="1">
      <x:c r="A57" s="1"/>
      <x:c r="B57" s="1"/>
      <x:c r="C57" s="1"/>
      <x:c r="D57" s="1"/>
      <x:c r="E57" s="1"/>
      <x:c r="F57" s="1"/>
    </x:row>
    <x:row r="58" ht="23" customHeight="1">
      <x:c r="A58" s="1"/>
      <x:c r="B58" s="1"/>
      <x:c r="C58" s="1"/>
      <x:c r="D58" s="1"/>
      <x:c r="E58" s="1"/>
      <x:c r="F58" s="1"/>
    </x:row>
    <x:row r="59" ht="23" customHeight="1">
      <x:c r="A59" s="1"/>
      <x:c r="B59" s="1"/>
      <x:c r="C59" s="1"/>
      <x:c r="D59" s="1"/>
      <x:c r="E59" s="1"/>
      <x:c r="F59" s="1"/>
    </x:row>
    <x:row r="60" ht="23" customHeight="1">
      <x:c r="A60" s="1"/>
      <x:c r="B60" s="1"/>
      <x:c r="C60" s="1"/>
      <x:c r="D60" s="1"/>
      <x:c r="E60" s="1"/>
      <x:c r="F60" s="1"/>
    </x:row>
    <x:row r="61" ht="23" customHeight="1">
      <x:c r="A61" s="1"/>
      <x:c r="B61" s="1"/>
      <x:c r="C61" s="1"/>
      <x:c r="D61" s="1"/>
      <x:c r="E61" s="1"/>
      <x:c r="F61" s="1"/>
    </x:row>
    <x:row r="62" ht="23" customHeight="1">
      <x:c r="A62" s="1"/>
      <x:c r="B62" s="1"/>
      <x:c r="C62" s="1"/>
      <x:c r="D62" s="1"/>
      <x:c r="E62" s="1"/>
      <x:c r="F62" s="1"/>
    </x:row>
    <x:row r="63" ht="23" customHeight="1">
      <x:c r="A63" s="1"/>
      <x:c r="B63" s="1"/>
      <x:c r="C63" s="1"/>
      <x:c r="D63" s="1"/>
      <x:c r="E63" s="1"/>
      <x:c r="F63" s="1"/>
    </x:row>
    <x:row r="64" ht="23" customHeight="1">
      <x:c r="A64" s="1"/>
      <x:c r="B64" s="1"/>
      <x:c r="C64" s="1"/>
      <x:c r="D64" s="1"/>
      <x:c r="E64" s="1"/>
      <x:c r="F64" s="1"/>
    </x:row>
    <x:row r="65" ht="23" customHeight="1">
      <x:c r="A65" s="1"/>
      <x:c r="B65" s="1"/>
      <x:c r="C65" s="1"/>
      <x:c r="D65" s="1"/>
      <x:c r="E65" s="1"/>
      <x:c r="F65" s="1"/>
    </x:row>
    <x:row r="66" ht="23" customHeight="1">
      <x:c r="A66" s="1"/>
      <x:c r="B66" s="1"/>
      <x:c r="C66" s="1"/>
      <x:c r="D66" s="1"/>
      <x:c r="E66" s="1"/>
      <x:c r="F66" s="1"/>
    </x:row>
    <x:row r="67" ht="23" customHeight="1">
      <x:c r="A67" s="1"/>
      <x:c r="B67" s="1"/>
      <x:c r="C67" s="1"/>
      <x:c r="D67" s="1"/>
      <x:c r="E67" s="1"/>
      <x:c r="F67" s="1"/>
    </x:row>
    <x:row r="68" ht="23" customHeight="1">
      <x:c r="A68" s="1"/>
      <x:c r="B68" s="1"/>
      <x:c r="C68" s="1"/>
      <x:c r="D68" s="1"/>
      <x:c r="E68" s="1"/>
      <x:c r="F68" s="1"/>
    </x:row>
    <x:row r="69" ht="23" customHeight="1">
      <x:c r="A69" s="1"/>
      <x:c r="B69" s="1"/>
      <x:c r="C69" s="1"/>
      <x:c r="D69" s="1"/>
      <x:c r="E69" s="1"/>
      <x:c r="F69" s="1"/>
    </x:row>
    <x:row r="70" ht="23" customHeight="1">
      <x:c r="A70" s="1"/>
      <x:c r="B70" s="1"/>
      <x:c r="C70" s="1"/>
      <x:c r="D70" s="1"/>
      <x:c r="E70" s="1"/>
      <x:c r="F70" s="1"/>
    </x:row>
    <x:row r="71" ht="23" customHeight="1">
      <x:c r="A71" s="1"/>
      <x:c r="B71" s="1"/>
      <x:c r="C71" s="1"/>
      <x:c r="D71" s="1"/>
      <x:c r="E71" s="1"/>
      <x:c r="F71" s="1"/>
    </x:row>
    <x:row r="72" ht="23" customHeight="1">
      <x:c r="A72" s="1"/>
      <x:c r="B72" s="1"/>
      <x:c r="C72" s="1"/>
      <x:c r="D72" s="1"/>
      <x:c r="E72" s="1"/>
      <x:c r="F72" s="1"/>
    </x:row>
    <x:row r="73" ht="23" customHeight="1">
      <x:c r="A73" s="1"/>
      <x:c r="B73" s="1"/>
      <x:c r="C73" s="1"/>
      <x:c r="D73" s="1"/>
      <x:c r="E73" s="1"/>
      <x:c r="F73" s="1"/>
    </x:row>
    <x:row r="74" ht="23" customHeight="1">
      <x:c r="A74" s="1"/>
      <x:c r="B74" s="1"/>
      <x:c r="C74" s="1"/>
      <x:c r="D74" s="1"/>
      <x:c r="E74" s="1"/>
      <x:c r="F74" s="1"/>
    </x:row>
    <x:row r="75" ht="23" customHeight="1">
      <x:c r="A75" s="1"/>
      <x:c r="B75" s="1"/>
      <x:c r="C75" s="1"/>
      <x:c r="D75" s="1"/>
      <x:c r="E75" s="1"/>
      <x:c r="F75" s="1"/>
    </x:row>
    <x:row r="76" ht="23" customHeight="1">
      <x:c r="A76" s="1"/>
      <x:c r="B76" s="1"/>
      <x:c r="C76" s="1"/>
      <x:c r="D76" s="1"/>
      <x:c r="E76" s="1"/>
      <x:c r="F76" s="1"/>
    </x:row>
    <x:row r="77" ht="23" customHeight="1">
      <x:c r="A77" s="1"/>
      <x:c r="B77" s="1"/>
      <x:c r="C77" s="1"/>
      <x:c r="D77" s="1"/>
      <x:c r="E77" s="1"/>
      <x:c r="F77" s="1"/>
    </x:row>
    <x:row r="78" ht="23" customHeight="1">
      <x:c r="A78" s="1"/>
      <x:c r="B78" s="1"/>
      <x:c r="C78" s="1"/>
      <x:c r="D78" s="1"/>
      <x:c r="E78" s="1"/>
      <x:c r="F78" s="1"/>
    </x:row>
    <x:row r="79" ht="23" customHeight="1">
      <x:c r="A79" s="1"/>
      <x:c r="B79" s="1"/>
      <x:c r="C79" s="1"/>
      <x:c r="D79" s="1"/>
      <x:c r="E79" s="1"/>
      <x:c r="F79" s="1"/>
    </x:row>
    <x:row r="80" ht="23" customHeight="1">
      <x:c r="A80" s="1"/>
      <x:c r="B80" s="1"/>
      <x:c r="C80" s="1"/>
      <x:c r="D80" s="1"/>
      <x:c r="E80" s="1"/>
      <x:c r="F8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9" hidden="0" customWidth="1"/>
    <x:col min="3" max="3" width="30" hidden="0" customWidth="1"/>
    <x:col min="4" max="4" width="30" hidden="0" customWidth="1"/>
    <x:col min="5" max="5" width="22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Lecture 10: Activity</x:v>
      </x:c>
      <x:c r="B2" s="1"/>
      <x:c r="C2" s="1"/>
      <x:c r="D2" s="1"/>
      <x:c r="E2" s="1"/>
      <x:c r="F2" s="1"/>
    </x:row>
    <x:row r="3" ht="23" customHeight="1">
      <x:c r="A3" s="1"/>
      <x:c r="B3" s="1"/>
      <x:c r="C3" s="1"/>
      <x:c r="D3" s="1"/>
      <x:c r="E3" s="1"/>
      <x:c r="F3" s="1"/>
    </x:row>
    <x:row r="4" ht="23" customHeight="1">
      <x:c r="A4" s="4" t="str">
        <x:v>Input</x:v>
      </x:c>
      <x:c r="B4" s="4" t="str">
        <x:v>Value</x:v>
      </x:c>
      <x:c r="C4" s="1"/>
      <x:c r="D4" s="1"/>
      <x:c r="E4" s="1"/>
      <x:c r="F4" s="1"/>
    </x:row>
    <x:row r="5" ht="23" customHeight="1">
      <x:c r="A5" s="1" t="str">
        <x:v>Face value ($)</x:v>
      </x:c>
      <x:c r="B5" s="7" t="n">
        <x:v>1000</x:v>
      </x:c>
      <x:c r="C5" s="1"/>
      <x:c r="D5" s="1" t="str">
        <x:v>Replace the blue inputs with your assigned values.</x:v>
      </x:c>
      <x:c r="E5" s="1"/>
      <x:c r="F5" s="1"/>
    </x:row>
    <x:row r="6" ht="23" customHeight="1">
      <x:c r="A6" s="1" t="str">
        <x:v>Annual coupon rate</x:v>
      </x:c>
      <x:c r="B6" s="10" t="n">
        <x:v>0.06</x:v>
      </x:c>
      <x:c r="C6" s="1"/>
      <x:c r="D6" s="1"/>
      <x:c r="E6" s="1"/>
      <x:c r="F6" s="1"/>
    </x:row>
    <x:row r="7" ht="23" customHeight="1">
      <x:c r="A7" s="1" t="str">
        <x:v>Market rates</x:v>
      </x:c>
      <x:c r="B7" s="7" t="str">
        <x:v>See table below</x:v>
      </x:c>
      <x:c r="C7" s="1"/>
      <x:c r="D7" s="1" t="str">
        <x:v>Enter each annual spot rate directly in the table.</x:v>
      </x:c>
      <x:c r="E7" s="1"/>
      <x:c r="F7" s="1"/>
    </x:row>
    <x:row r="8" ht="23" customHeight="1">
      <x:c r="A8" s="1" t="str">
        <x:v>Years to maturity</x:v>
      </x:c>
      <x:c r="B8" s="12" t="n">
        <x:v>2</x:v>
      </x:c>
      <x:c r="C8" s="1"/>
      <x:c r="D8" s="1"/>
      <x:c r="E8" s="1"/>
      <x:c r="F8" s="1"/>
    </x:row>
    <x:row r="9" ht="23" customHeight="1">
      <x:c r="A9" s="1" t="str">
        <x:v>Payments per year</x:v>
      </x:c>
      <x:c r="B9" s="12" t="n">
        <x:v>2</x:v>
      </x:c>
      <x:c r="C9" s="1"/>
      <x:c r="D9" s="1" t="str">
        <x:v>Complete the yellow cells using the suggested formulas.</x:v>
      </x:c>
      <x:c r="E9" s="1"/>
      <x:c r="F9" s="1"/>
    </x:row>
    <x:row r="10" ht="23" customHeight="1">
      <x:c r="A10" s="1" t="str"/>
      <x:c r="B10" s="7"/>
      <x:c r="C10" s="1"/>
      <x:c r="D10" s="1"/>
      <x:c r="E10" s="1"/>
      <x:c r="F10" s="1"/>
    </x:row>
    <x:row r="11" ht="23" customHeight="1">
      <x:c r="A11" s="1"/>
      <x:c r="B11" s="8"/>
      <x:c r="C11" s="1"/>
      <x:c r="D11" s="1" t="str">
        <x:v>Both bonds: $1,000 face value, 2 years, semiannual coupons.</x:v>
      </x:c>
      <x:c r="E11" s="1"/>
      <x:c r="F11" s="1"/>
    </x:row>
    <x:row r="12" ht="23" customHeight="1">
      <x:c r="A12" s="4" t="str">
        <x:v>Calculation</x:v>
      </x:c>
      <x:c r="B12" s="9" t="str">
        <x:v>Answer</x:v>
      </x:c>
      <x:c r="C12" s="4" t="str">
        <x:v>Suggested formula</x:v>
      </x:c>
      <x:c r="D12" s="1"/>
      <x:c r="E12" s="1"/>
      <x:c r="F12" s="1"/>
    </x:row>
    <x:row r="13" ht="23" customHeight="1">
      <x:c r="A13" s="1" t="str">
        <x:v>a) Coupon payment</x:v>
      </x:c>
      <x:c r="B13" s="17"/>
      <x:c r="C13" s="1" t="str">
        <x:v>=B5*B6/B9</x:v>
      </x:c>
      <x:c r="D13" s="1"/>
      <x:c r="E13" s="1"/>
      <x:c r="F13" s="1"/>
    </x:row>
    <x:row r="14" ht="23" customHeight="1">
      <x:c r="A14" s="1" t="str">
        <x:v>b) Number of payments</x:v>
      </x:c>
      <x:c r="B14" s="18"/>
      <x:c r="C14" s="1" t="str">
        <x:v>=B8*B9</x:v>
      </x:c>
      <x:c r="D14" s="1"/>
      <x:c r="E14" s="1"/>
      <x:c r="F14" s="1"/>
    </x:row>
    <x:row r="15" ht="23" customHeight="1">
      <x:c r="A15" s="1" t="str">
        <x:v>c) Price</x:v>
      </x:c>
      <x:c r="B15" s="17"/>
      <x:c r="C15" s="1" t="str">
        <x:v>=SUM(E21:E24)</x:v>
      </x:c>
      <x:c r="D15" s="1"/>
      <x:c r="E15" s="1"/>
      <x:c r="F15" s="1"/>
    </x:row>
    <x:row r="16" ht="23" customHeight="1">
      <x:c r="A16" s="1" t="str">
        <x:v>d) Annual YTM</x:v>
      </x:c>
      <x:c r="B16" s="19"/>
      <x:c r="C16" s="1" t="str">
        <x:v>=RATE(B14,B13,-B15,B5)*B9</x:v>
      </x:c>
      <x:c r="D16" s="1"/>
      <x:c r="E16" s="1"/>
      <x:c r="F16" s="1"/>
    </x:row>
    <x:row r="17" ht="23" customHeight="1">
      <x:c r="A17" s="1" t="str">
        <x:v>e) Premium, par or discount?</x:v>
      </x:c>
      <x:c r="B17" s="24"/>
      <x:c r="C17" s="1" t="str">
        <x:v>Compare your price with face value.</x:v>
      </x:c>
      <x:c r="D17" s="1"/>
      <x:c r="E17" s="1"/>
      <x:c r="F17" s="1"/>
    </x:row>
    <x:row r="18" ht="23" customHeight="1">
      <x:c r="A18" s="1"/>
      <x:c r="B18" s="1"/>
      <x:c r="C18" s="1"/>
      <x:c r="D18" s="1"/>
      <x:c r="E18" s="1"/>
      <x:c r="F18" s="1"/>
    </x:row>
    <x:row r="19" ht="23" customHeight="1">
      <x:c r="A19" s="1" t="str">
        <x:v>Cash flows by maturity (years)</x:v>
      </x:c>
      <x:c r="B19" s="1"/>
      <x:c r="C19" s="1"/>
      <x:c r="D19" s="1"/>
      <x:c r="E19" s="1"/>
      <x:c r="F19" s="1"/>
    </x:row>
    <x:row r="20" ht="23" customHeight="1">
      <x:c r="A20" s="4" t="str">
        <x:v>Maturity (years)</x:v>
      </x:c>
      <x:c r="B20" s="4" t="str">
        <x:v>Annual spot rate</x:v>
      </x:c>
      <x:c r="C20" s="4" t="str">
        <x:v>Cash flow ($)</x:v>
      </x:c>
      <x:c r="D20" s="4" t="str">
        <x:v>Discount factor</x:v>
      </x:c>
      <x:c r="E20" s="4" t="str">
        <x:v>Present value ($)</x:v>
      </x:c>
      <x:c r="F20" s="1"/>
    </x:row>
    <x:row r="21" ht="23" customHeight="1">
      <x:c r="A21" s="14" t="n">
        <x:f>IF(1&lt;=$B$8*$B$9,1/$B$9,"")</x:f>
        <x:v>0.5</x:v>
      </x:c>
      <x:c r="B21" s="10" t="n">
        <x:v>0.045</x:v>
      </x:c>
      <x:c r="C21" s="15" t="str">
        <x:f>IF(OR(A21="",$B$13="",$B$14=""),"",$B$13+IF(A21*$B$9=$B$14,$B$5,0))</x:f>
      </x:c>
      <x:c r="D21" s="16" t="n">
        <x:f>IF(A21="","",1/(1+B21/$B$9)^(A21*$B$9))</x:f>
        <x:v>0.9779951100244499</x:v>
      </x:c>
      <x:c r="E21" s="15" t="str">
        <x:f>IF(C21="","",C21*D21)</x:f>
      </x:c>
      <x:c r="F21" s="1"/>
    </x:row>
    <x:row r="22" ht="23" customHeight="1">
      <x:c r="A22" s="14" t="n">
        <x:f>IF(2&lt;=$B$8*$B$9,2/$B$9,"")</x:f>
        <x:v>1</x:v>
      </x:c>
      <x:c r="B22" s="10" t="n">
        <x:v>0.05</x:v>
      </x:c>
      <x:c r="C22" s="15" t="str">
        <x:f>IF(OR(A22="",$B$13="",$B$14=""),"",$B$13+IF(A22*$B$9=$B$14,$B$5,0))</x:f>
      </x:c>
      <x:c r="D22" s="16" t="n">
        <x:f>IF(A22="","",1/(1+B22/$B$9)^(A22*$B$9))</x:f>
        <x:v>0.9518143961927424</x:v>
      </x:c>
      <x:c r="E22" s="15" t="str">
        <x:f>IF(C22="","",C22*D22)</x:f>
      </x:c>
      <x:c r="F22" s="1"/>
    </x:row>
    <x:row r="23" ht="23" customHeight="1">
      <x:c r="A23" s="14" t="n">
        <x:f>IF(3&lt;=$B$8*$B$9,3/$B$9,"")</x:f>
        <x:v>1.5</x:v>
      </x:c>
      <x:c r="B23" s="10" t="n">
        <x:v>0.055</x:v>
      </x:c>
      <x:c r="C23" s="15" t="str">
        <x:f>IF(OR(A23="",$B$13="",$B$14=""),"",$B$13+IF(A23*$B$9=$B$14,$B$5,0))</x:f>
      </x:c>
      <x:c r="D23" s="16" t="n">
        <x:f>IF(A23="","",1/(1+B23/$B$9)^(A23*$B$9))</x:f>
        <x:v>0.9218377913769016</x:v>
      </x:c>
      <x:c r="E23" s="15" t="str">
        <x:f>IF(C23="","",C23*D23)</x:f>
      </x:c>
      <x:c r="F23" s="1"/>
    </x:row>
    <x:row r="24" ht="23" customHeight="1">
      <x:c r="A24" s="14" t="n">
        <x:f>IF(4&lt;=$B$8*$B$9,4/$B$9,"")</x:f>
        <x:v>2</x:v>
      </x:c>
      <x:c r="B24" s="10" t="n">
        <x:v>0.06</x:v>
      </x:c>
      <x:c r="C24" s="15" t="str">
        <x:f>IF(OR(A24="",$B$13="",$B$14=""),"",$B$13+IF(A24*$B$9=$B$14,$B$5,0))</x:f>
      </x:c>
      <x:c r="D24" s="16" t="n">
        <x:f>IF(A24="","",1/(1+B24/$B$9)^(A24*$B$9))</x:f>
        <x:v>0.8884870479156888</x:v>
      </x:c>
      <x:c r="E24" s="15" t="str">
        <x:f>IF(C24="","",C24*D24)</x:f>
      </x:c>
      <x:c r="F24" s="1"/>
    </x:row>
    <x:row r="25" ht="23" customHeight="1">
      <x:c r="A25" s="14"/>
      <x:c r="B25" s="11"/>
      <x:c r="C25" s="15"/>
      <x:c r="D25" s="16"/>
      <x:c r="E25" s="15"/>
      <x:c r="F25" s="1"/>
    </x:row>
    <x:row r="26" ht="23" customHeight="1">
      <x:c r="A26" s="14"/>
      <x:c r="B26" s="11"/>
      <x:c r="C26" s="15"/>
      <x:c r="D26" s="16"/>
      <x:c r="E26" s="15"/>
      <x:c r="F26" s="1"/>
    </x:row>
    <x:row r="27" ht="23" customHeight="1">
      <x:c r="A27" s="14"/>
      <x:c r="B27" s="11"/>
      <x:c r="C27" s="15"/>
      <x:c r="D27" s="16"/>
      <x:c r="E27" s="15"/>
      <x:c r="F27" s="1"/>
    </x:row>
    <x:row r="28" ht="23" customHeight="1">
      <x:c r="A28" s="14"/>
      <x:c r="B28" s="11"/>
      <x:c r="C28" s="15"/>
      <x:c r="D28" s="16"/>
      <x:c r="E28" s="15"/>
      <x:c r="F28" s="1"/>
    </x:row>
    <x:row r="29" ht="23" customHeight="1">
      <x:c r="A29" s="1"/>
      <x:c r="B29" s="1"/>
      <x:c r="C29" s="1"/>
      <x:c r="D29" s="1"/>
      <x:c r="E29" s="1"/>
      <x:c r="F29" s="1"/>
    </x:row>
    <x:row r="30" ht="23" customHeight="1">
      <x:c r="A30" s="1"/>
      <x:c r="B30" s="1"/>
      <x:c r="C30" s="1"/>
      <x:c r="D30" s="1"/>
      <x:c r="E30" s="1"/>
      <x:c r="F30" s="1"/>
    </x:row>
    <x:row r="31" ht="23" customHeight="1">
      <x:c r="A31" s="1"/>
      <x:c r="B31" s="1"/>
      <x:c r="C31" s="1"/>
      <x:c r="D31" s="1"/>
      <x:c r="E31" s="1"/>
      <x:c r="F31" s="1"/>
    </x:row>
    <x:row r="32" ht="23" customHeight="1">
      <x:c r="A32" s="1"/>
      <x:c r="B32" s="1"/>
      <x:c r="C32" s="1"/>
      <x:c r="D32" s="1"/>
      <x:c r="E32" s="1"/>
      <x:c r="F32" s="1"/>
    </x:row>
    <x:row r="33" ht="23" customHeight="1">
      <x:c r="A33" s="1"/>
      <x:c r="B33" s="1"/>
      <x:c r="C33" s="1"/>
      <x:c r="D33" s="1"/>
      <x:c r="E33" s="1"/>
      <x:c r="F33" s="1"/>
    </x:row>
    <x:row r="34" ht="23" customHeight="1">
      <x:c r="A34" s="1"/>
      <x:c r="B34" s="1"/>
      <x:c r="C34" s="1"/>
      <x:c r="D34" s="1"/>
      <x:c r="E34" s="1"/>
      <x:c r="F34" s="1"/>
    </x:row>
    <x:row r="35" ht="23" customHeight="1">
      <x:c r="A35" s="1"/>
      <x:c r="B35" s="1"/>
      <x:c r="C35" s="1"/>
      <x:c r="D35" s="1"/>
      <x:c r="E35" s="1"/>
      <x:c r="F35" s="1"/>
    </x:row>
    <x:row r="36" ht="23" customHeight="1">
      <x:c r="A36" s="1"/>
      <x:c r="B36" s="1"/>
      <x:c r="C36" s="1"/>
      <x:c r="D36" s="1"/>
      <x:c r="E36" s="1"/>
      <x:c r="F36" s="1"/>
    </x:row>
    <x:row r="37" ht="23" customHeight="1">
      <x:c r="A37" s="1"/>
      <x:c r="B37" s="1"/>
      <x:c r="C37" s="1"/>
      <x:c r="D37" s="1"/>
      <x:c r="E37" s="1"/>
      <x:c r="F37" s="1"/>
    </x:row>
    <x:row r="38" ht="23" customHeight="1">
      <x:c r="A38" s="1"/>
      <x:c r="B38" s="1"/>
      <x:c r="C38" s="1"/>
      <x:c r="D38" s="1"/>
      <x:c r="E38" s="1"/>
      <x:c r="F38" s="1"/>
    </x:row>
    <x:row r="39" ht="23" customHeight="1">
      <x:c r="A39" s="1"/>
      <x:c r="B39" s="1"/>
      <x:c r="C39" s="1"/>
      <x:c r="D39" s="1"/>
      <x:c r="E39" s="1"/>
      <x:c r="F39" s="1"/>
    </x:row>
    <x:row r="40" ht="23" customHeight="1">
      <x:c r="A40" s="1"/>
      <x:c r="B40" s="1"/>
      <x:c r="C40" s="1"/>
      <x:c r="D40" s="1"/>
      <x:c r="E40" s="1"/>
      <x:c r="F40" s="1"/>
    </x:row>
    <x:row r="41" ht="23" customHeight="1">
      <x:c r="A41" s="1"/>
      <x:c r="B41" s="1"/>
      <x:c r="C41" s="1"/>
      <x:c r="D41" s="1"/>
      <x:c r="E41" s="1"/>
      <x:c r="F41" s="1"/>
    </x:row>
    <x:row r="42" ht="23" customHeight="1">
      <x:c r="A42" s="1"/>
      <x:c r="B42" s="1"/>
      <x:c r="C42" s="1"/>
      <x:c r="D42" s="1"/>
      <x:c r="E42" s="1"/>
      <x:c r="F42" s="1"/>
    </x:row>
    <x:row r="43" ht="23" customHeight="1">
      <x:c r="A43" s="1"/>
      <x:c r="B43" s="1"/>
      <x:c r="C43" s="1"/>
      <x:c r="D43" s="1"/>
      <x:c r="E43" s="1"/>
      <x:c r="F43" s="1"/>
    </x:row>
    <x:row r="44" ht="23" customHeight="1">
      <x:c r="A44" s="1"/>
      <x:c r="B44" s="1"/>
      <x:c r="C44" s="1"/>
      <x:c r="D44" s="1"/>
      <x:c r="E44" s="1"/>
      <x:c r="F44" s="1"/>
    </x:row>
    <x:row r="45" ht="23" customHeight="1">
      <x:c r="A45" s="1"/>
      <x:c r="B45" s="1"/>
      <x:c r="C45" s="1"/>
      <x:c r="D45" s="1"/>
      <x:c r="E45" s="1"/>
      <x:c r="F45" s="1"/>
    </x:row>
    <x:row r="46" ht="23" customHeight="1">
      <x:c r="A46" s="1"/>
      <x:c r="B46" s="1"/>
      <x:c r="C46" s="1"/>
      <x:c r="D46" s="1"/>
      <x:c r="E46" s="1"/>
      <x:c r="F46" s="1"/>
    </x:row>
    <x:row r="47" ht="23" customHeight="1">
      <x:c r="A47" s="1"/>
      <x:c r="B47" s="1"/>
      <x:c r="C47" s="1"/>
      <x:c r="D47" s="1"/>
      <x:c r="E47" s="1"/>
      <x:c r="F47" s="1"/>
    </x:row>
    <x:row r="48" ht="23" customHeight="1">
      <x:c r="A48" s="1"/>
      <x:c r="B48" s="1"/>
      <x:c r="C48" s="1"/>
      <x:c r="D48" s="1"/>
      <x:c r="E48" s="1"/>
      <x:c r="F48" s="1"/>
    </x:row>
    <x:row r="49" ht="23" customHeight="1">
      <x:c r="A49" s="1"/>
      <x:c r="B49" s="1"/>
      <x:c r="C49" s="1"/>
      <x:c r="D49" s="1"/>
      <x:c r="E49" s="1"/>
      <x:c r="F49" s="1"/>
    </x:row>
    <x:row r="50" ht="23" customHeight="1">
      <x:c r="A50" s="1"/>
      <x:c r="B50" s="1"/>
      <x:c r="C50" s="1"/>
      <x:c r="D50" s="1"/>
      <x:c r="E50" s="1"/>
      <x:c r="F50" s="1"/>
    </x:row>
    <x:row r="51" ht="23" customHeight="1">
      <x:c r="A51" s="1"/>
      <x:c r="B51" s="1"/>
      <x:c r="C51" s="1"/>
      <x:c r="D51" s="1"/>
      <x:c r="E51" s="1"/>
      <x:c r="F51" s="1"/>
    </x:row>
    <x:row r="52" ht="23" customHeight="1">
      <x:c r="A52" s="1"/>
      <x:c r="B52" s="1"/>
      <x:c r="C52" s="1"/>
      <x:c r="D52" s="1"/>
      <x:c r="E52" s="1"/>
      <x:c r="F52" s="1"/>
    </x:row>
    <x:row r="53" ht="23" customHeight="1">
      <x:c r="A53" s="1"/>
      <x:c r="B53" s="1"/>
      <x:c r="C53" s="1"/>
      <x:c r="D53" s="1"/>
      <x:c r="E53" s="1"/>
      <x:c r="F53" s="1"/>
    </x:row>
    <x:row r="54" ht="23" customHeight="1">
      <x:c r="A54" s="1"/>
      <x:c r="B54" s="1"/>
      <x:c r="C54" s="1"/>
      <x:c r="D54" s="1"/>
      <x:c r="E54" s="1"/>
      <x:c r="F54" s="1"/>
    </x:row>
    <x:row r="55" ht="23" customHeight="1">
      <x:c r="A55" s="1"/>
      <x:c r="B55" s="1"/>
      <x:c r="C55" s="1"/>
      <x:c r="D55" s="1"/>
      <x:c r="E55" s="1"/>
      <x:c r="F55" s="1"/>
    </x:row>
    <x:row r="56" ht="23" customHeight="1">
      <x:c r="A56" s="1"/>
      <x:c r="B56" s="1"/>
      <x:c r="C56" s="1"/>
      <x:c r="D56" s="1"/>
      <x:c r="E56" s="1"/>
      <x:c r="F56" s="1"/>
    </x:row>
    <x:row r="57" ht="23" customHeight="1">
      <x:c r="A57" s="1"/>
      <x:c r="B57" s="1"/>
      <x:c r="C57" s="1"/>
      <x:c r="D57" s="1"/>
      <x:c r="E57" s="1"/>
      <x:c r="F57" s="1"/>
    </x:row>
    <x:row r="58" ht="23" customHeight="1">
      <x:c r="A58" s="1"/>
      <x:c r="B58" s="1"/>
      <x:c r="C58" s="1"/>
      <x:c r="D58" s="1"/>
      <x:c r="E58" s="1"/>
      <x:c r="F58" s="1"/>
    </x:row>
    <x:row r="59" ht="23" customHeight="1">
      <x:c r="A59" s="1"/>
      <x:c r="B59" s="1"/>
      <x:c r="C59" s="1"/>
      <x:c r="D59" s="1"/>
      <x:c r="E59" s="1"/>
      <x:c r="F59" s="1"/>
    </x:row>
    <x:row r="60" ht="23" customHeight="1">
      <x:c r="A60" s="1"/>
      <x:c r="B60" s="1"/>
      <x:c r="C60" s="1"/>
      <x:c r="D60" s="1"/>
      <x:c r="E60" s="1"/>
      <x:c r="F60" s="1"/>
    </x:row>
    <x:row r="61" ht="23" customHeight="1">
      <x:c r="A61" s="1"/>
      <x:c r="B61" s="1"/>
      <x:c r="C61" s="1"/>
      <x:c r="D61" s="1"/>
      <x:c r="E61" s="1"/>
      <x:c r="F61" s="1"/>
    </x:row>
    <x:row r="62" ht="23" customHeight="1">
      <x:c r="A62" s="1"/>
      <x:c r="B62" s="1"/>
      <x:c r="C62" s="1"/>
      <x:c r="D62" s="1"/>
      <x:c r="E62" s="1"/>
      <x:c r="F62" s="1"/>
    </x:row>
    <x:row r="63" ht="23" customHeight="1">
      <x:c r="A63" s="1"/>
      <x:c r="B63" s="1"/>
      <x:c r="C63" s="1"/>
      <x:c r="D63" s="1"/>
      <x:c r="E63" s="1"/>
      <x:c r="F63" s="1"/>
    </x:row>
    <x:row r="64" ht="23" customHeight="1">
      <x:c r="A64" s="1"/>
      <x:c r="B64" s="1"/>
      <x:c r="C64" s="1"/>
      <x:c r="D64" s="1"/>
      <x:c r="E64" s="1"/>
      <x:c r="F64" s="1"/>
    </x:row>
    <x:row r="65" ht="23" customHeight="1">
      <x:c r="A65" s="1"/>
      <x:c r="B65" s="1"/>
      <x:c r="C65" s="1"/>
      <x:c r="D65" s="1"/>
      <x:c r="E65" s="1"/>
      <x:c r="F65" s="1"/>
    </x:row>
    <x:row r="66" ht="23" customHeight="1">
      <x:c r="A66" s="1"/>
      <x:c r="B66" s="1"/>
      <x:c r="C66" s="1"/>
      <x:c r="D66" s="1"/>
      <x:c r="E66" s="1"/>
      <x:c r="F66" s="1"/>
    </x:row>
    <x:row r="67" ht="23" customHeight="1">
      <x:c r="A67" s="1"/>
      <x:c r="B67" s="1"/>
      <x:c r="C67" s="1"/>
      <x:c r="D67" s="1"/>
      <x:c r="E67" s="1"/>
      <x:c r="F67" s="1"/>
    </x:row>
    <x:row r="68" ht="23" customHeight="1">
      <x:c r="A68" s="1"/>
      <x:c r="B68" s="1"/>
      <x:c r="C68" s="1"/>
      <x:c r="D68" s="1"/>
      <x:c r="E68" s="1"/>
      <x:c r="F68" s="1"/>
    </x:row>
    <x:row r="69" ht="23" customHeight="1">
      <x:c r="A69" s="1"/>
      <x:c r="B69" s="1"/>
      <x:c r="C69" s="1"/>
      <x:c r="D69" s="1"/>
      <x:c r="E69" s="1"/>
      <x:c r="F69" s="1"/>
    </x:row>
    <x:row r="70" ht="23" customHeight="1">
      <x:c r="A70" s="1"/>
      <x:c r="B70" s="1"/>
      <x:c r="C70" s="1"/>
      <x:c r="D70" s="1"/>
      <x:c r="E70" s="1"/>
      <x:c r="F70" s="1"/>
    </x:row>
    <x:row r="71" ht="23" customHeight="1">
      <x:c r="A71" s="1"/>
      <x:c r="B71" s="1"/>
      <x:c r="C71" s="1"/>
      <x:c r="D71" s="1"/>
      <x:c r="E71" s="1"/>
      <x:c r="F71" s="1"/>
    </x:row>
    <x:row r="72" ht="23" customHeight="1">
      <x:c r="A72" s="1"/>
      <x:c r="B72" s="1"/>
      <x:c r="C72" s="1"/>
      <x:c r="D72" s="1"/>
      <x:c r="E72" s="1"/>
      <x:c r="F72" s="1"/>
    </x:row>
    <x:row r="73" ht="23" customHeight="1">
      <x:c r="A73" s="1"/>
      <x:c r="B73" s="1"/>
      <x:c r="C73" s="1"/>
      <x:c r="D73" s="1"/>
      <x:c r="E73" s="1"/>
      <x:c r="F73" s="1"/>
    </x:row>
    <x:row r="74" ht="23" customHeight="1">
      <x:c r="A74" s="1"/>
      <x:c r="B74" s="1"/>
      <x:c r="C74" s="1"/>
      <x:c r="D74" s="1"/>
      <x:c r="E74" s="1"/>
      <x:c r="F74" s="1"/>
    </x:row>
    <x:row r="75" ht="23" customHeight="1">
      <x:c r="A75" s="1"/>
      <x:c r="B75" s="1"/>
      <x:c r="C75" s="1"/>
      <x:c r="D75" s="1"/>
      <x:c r="E75" s="1"/>
      <x:c r="F75" s="1"/>
    </x:row>
    <x:row r="76" ht="23" customHeight="1">
      <x:c r="A76" s="1"/>
      <x:c r="B76" s="1"/>
      <x:c r="C76" s="1"/>
      <x:c r="D76" s="1"/>
      <x:c r="E76" s="1"/>
      <x:c r="F76" s="1"/>
    </x:row>
    <x:row r="77" ht="23" customHeight="1">
      <x:c r="A77" s="1"/>
      <x:c r="B77" s="1"/>
      <x:c r="C77" s="1"/>
      <x:c r="D77" s="1"/>
      <x:c r="E77" s="1"/>
      <x:c r="F77" s="1"/>
    </x:row>
    <x:row r="78" ht="23" customHeight="1">
      <x:c r="A78" s="1"/>
      <x:c r="B78" s="1"/>
      <x:c r="C78" s="1"/>
      <x:c r="D78" s="1"/>
      <x:c r="E78" s="1"/>
      <x:c r="F78" s="1"/>
    </x:row>
    <x:row r="79" ht="23" customHeight="1">
      <x:c r="A79" s="1"/>
      <x:c r="B79" s="1"/>
      <x:c r="C79" s="1"/>
      <x:c r="D79" s="1"/>
      <x:c r="E79" s="1"/>
      <x:c r="F79" s="1"/>
    </x:row>
    <x:row r="80" ht="23" customHeight="1">
      <x:c r="A80" s="1"/>
      <x:c r="B80" s="1"/>
      <x:c r="C80" s="1"/>
      <x:c r="D80" s="1"/>
      <x:c r="E80" s="1"/>
      <x:c r="F80" s="1"/>
    </x:row>
  </x:sheetData>
  <x:dataValidations count="1">
    <x:dataValidation type="list" sqref="B17">
      <x:formula1>"Premium,Par,Discount"</x:formula1>
    </x:dataValidation>
  </x:dataValidations>
  <x:pageMargins left="0.7" right="0.7" top="0.75" bottom="0.75" header="0.3" footer="0.3"/>
</x:worksheet>
</file>