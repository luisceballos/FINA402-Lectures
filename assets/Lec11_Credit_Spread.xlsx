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9c1ec4c61e4b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ample" sheetId="1" r:id="Rbc8f8b61961f43b2"/>
    <x:sheet xmlns:r="http://schemas.openxmlformats.org/officeDocument/2006/relationships" name="Activity" sheetId="2" r:id="Rbd75bf8c02f64a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"/>
    <x:numFmt numFmtId="201" formatCode="0.00;(0.00);0.00"/>
    <x:numFmt numFmtId="202" formatCode="0"/>
    <x:numFmt numFmtId="203" formatCode="0%"/>
  </x:numFmts>
  <x:fonts count="6">
    <x:font>
      <x:sz val="11"/>
      <x:name val="Carlito"/>
    </x:font>
    <x:font>
      <x:sz val="11"/>
      <x:color rgb="FF222222"/>
      <x:name val="Arial"/>
    </x:font>
    <x:font>
      <x:b/>
      <x:sz val="16"/>
      <x:color rgb="FF6B1D2A"/>
      <x:name val="Arial"/>
    </x:font>
    <x:font>
      <x:sz val="11"/>
      <x:color rgb="FF0000FF"/>
      <x:name val="Arial"/>
    </x:font>
    <x:font>
      <x:b/>
      <x:sz val="11"/>
      <x:color rgb="FFFFFFFF"/>
      <x:name val="Arial"/>
    </x:font>
    <x:font>
      <x:sz val="10"/>
      <x:color rgb="FF666666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6B1D2A"/>
      </x:patternFill>
    </x:fill>
    <x:fill>
      <x:patternFill patternType="solid">
        <x:fgColor rgb="FFEEE4E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200" fontId="3" fillId="2" borderId="0" xfId="0" applyNumberFormat="1" applyFont="1" applyFill="1" applyBorder="1"/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5" fillId="0" borderId="0" xfId="0" applyNumberFormat="1" applyFont="1" applyFill="1" applyBorder="1"/>
    <x:xf numFmtId="203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1" fillId="0" borderId="0" xfId="0" applyNumberFormat="1" applyFont="1" applyFill="1" applyBorder="1"/>
    <x:xf numFmtId="0" fontId="1" fillId="4" borderId="0" xfId="0" applyNumberFormat="1" applyFont="1" applyFill="1" applyBorder="1"/>
    <x:xf numFmtId="200" fontId="1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b38e33ec36471a" /><Relationship Type="http://schemas.openxmlformats.org/officeDocument/2006/relationships/theme" Target="/xl/theme/theme1.xml" Id="Rb83701bdd653449d" /><Relationship Type="http://schemas.openxmlformats.org/officeDocument/2006/relationships/sharedStrings" Target="/xl/sharedStrings.xml" Id="R284e384b6ba341a2" /><Relationship Type="http://schemas.openxmlformats.org/officeDocument/2006/relationships/worksheet" Target="/xl/worksheets/sheet1.xml" Id="Rbc8f8b61961f43b2" /><Relationship Type="http://schemas.openxmlformats.org/officeDocument/2006/relationships/worksheet" Target="/xl/worksheets/sheet2.xml" Id="Rbd75bf8c02f64a2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6B1D2A"/>
  </x:sheetPr>
  <x:sheetViews>
    <x:sheetView showGridLines="0" workbookViewId="0"/>
  </x:sheetViews>
  <x:sheetFormatPr defaultRowHeight="15"/>
  <x:cols>
    <x:col min="1" max="1" width="36" hidden="0" customWidth="1"/>
    <x:col min="2" max="2" width="18" hidden="0" customWidth="1"/>
    <x:col min="3" max="3" width="78" hidden="0" customWidth="1"/>
    <x:col min="4" max="4" width="51" hidden="0" customWidth="1"/>
  </x:cols>
  <x:sheetData>
    <x:row r="1" ht="25" customHeight="1">
      <x:c r="A1" s="1"/>
      <x:c r="B1" s="1"/>
      <x:c r="C1" s="1"/>
      <x:c r="D1" s="1"/>
    </x:row>
    <x:row r="2" ht="25" customHeight="1">
      <x:c r="A2" s="2" t="str">
        <x:v>Lecture 11: Example</x:v>
      </x:c>
      <x:c r="B2" s="1"/>
      <x:c r="C2" s="1"/>
      <x:c r="D2" s="1"/>
    </x:row>
    <x:row r="3" ht="25" customHeight="1">
      <x:c r="A3" s="1" t="str">
        <x:v>Enter the six inputs in yellow. Results calculate below.</x:v>
      </x:c>
      <x:c r="B3" s="1"/>
      <x:c r="C3" s="1"/>
      <x:c r="D3" s="1"/>
    </x:row>
    <x:row r="4" ht="25" customHeight="1">
      <x:c r="A4" s="1" t="str">
        <x:v>Use the hypothetical issuance data on the example slide.</x:v>
      </x:c>
      <x:c r="B4" s="1"/>
      <x:c r="C4" s="1"/>
      <x:c r="D4" s="1"/>
    </x:row>
    <x:row r="5" ht="25" customHeight="1">
      <x:c r="A5" s="7" t="str">
        <x:v>Issuance data</x:v>
      </x:c>
      <x:c r="B5" s="7" t="str">
        <x:v>Enter value</x:v>
      </x:c>
      <x:c r="C5" s="7" t="str">
        <x:v>Meaning / entry convention</x:v>
      </x:c>
      <x:c r="D5" s="7" t="str"/>
    </x:row>
    <x:row r="6" ht="25" customHeight="1">
      <x:c r="A6" s="1" t="str">
        <x:v>Face value ($)</x:v>
      </x:c>
      <x:c r="B6" s="5"/>
      <x:c r="C6" s="1" t="str">
        <x:v>Principal repaid at maturity if no default</x:v>
      </x:c>
      <x:c r="D6" s="1"/>
    </x:row>
    <x:row r="7" ht="25" customHeight="1">
      <x:c r="A7" s="1" t="str">
        <x:v>Annual coupon rate (%)</x:v>
      </x:c>
      <x:c r="B7" s="5"/>
      <x:c r="C7" s="1" t="str">
        <x:v>Enter 5 for 5%, not 0.05</x:v>
      </x:c>
      <x:c r="D7" s="1"/>
    </x:row>
    <x:row r="8" ht="25" customHeight="1">
      <x:c r="A8" s="1" t="str">
        <x:v>Maturity (years)</x:v>
      </x:c>
      <x:c r="B8" s="5"/>
      <x:c r="C8" s="1" t="str">
        <x:v>At issuance; semiannual coupon payments</x:v>
      </x:c>
      <x:c r="D8" s="1"/>
    </x:row>
    <x:row r="9" ht="25" customHeight="1">
      <x:c r="A9" s="1" t="str">
        <x:v>Comparable Treasury YTM (%)</x:v>
      </x:c>
      <x:c r="B9" s="5"/>
      <x:c r="C9" s="1" t="str">
        <x:v>Same currency and similar maturity</x:v>
      </x:c>
      <x:c r="D9" s="1"/>
    </x:row>
    <x:row r="10" ht="25" customHeight="1">
      <x:c r="A10" s="1" t="str">
        <x:v>Annual default probability (%)</x:v>
      </x:c>
      <x:c r="B10" s="5"/>
      <x:c r="C10" s="1" t="str">
        <x:v>Enter 2 for 2%; held constant in this model</x:v>
      </x:c>
      <x:c r="D10" s="1"/>
    </x:row>
    <x:row r="11" ht="25" customHeight="1">
      <x:c r="A11" s="1" t="str">
        <x:v>Recovery rate (%)</x:v>
      </x:c>
      <x:c r="B11" s="5"/>
      <x:c r="C11" s="1" t="str">
        <x:v>Enter 40 for 40%; fraction of principal recovered</x:v>
      </x:c>
      <x:c r="D11" s="1"/>
    </x:row>
    <x:row r="12" ht="25" customHeight="1">
      <x:c r="A12" s="1"/>
      <x:c r="B12" s="1"/>
      <x:c r="C12" s="1"/>
      <x:c r="D12" s="1"/>
    </x:row>
    <x:row r="13" ht="25" customHeight="1">
      <x:c r="A13" s="1"/>
      <x:c r="B13" s="1"/>
      <x:c r="C13" s="1"/>
      <x:c r="D13" s="1"/>
    </x:row>
    <x:row r="14" ht="25" customHeight="1">
      <x:c r="A14" s="7" t="str">
        <x:v>Intermediate calculation</x:v>
      </x:c>
      <x:c r="B14" s="7" t="str">
        <x:v>Result</x:v>
      </x:c>
      <x:c r="C14" s="7" t="str">
        <x:v>Financial formula</x:v>
      </x:c>
      <x:c r="D14" s="7" t="str">
        <x:v>Excel formula</x:v>
      </x:c>
    </x:row>
    <x:row r="15" ht="25" customHeight="1">
      <x:c r="A15" s="1" t="str">
        <x:v>Semiannual coupon ($)</x:v>
      </x:c>
      <x:c r="B15" s="8" t="str">
        <x:f>IF(COUNT(B6:B7)&lt;2,"",B6*B7/100/2)</x:f>
      </x:c>
      <x:c r="C15" s="1" t="str">
        <x:v>C = FV x coupon rate / 2</x:v>
      </x:c>
      <x:c r="D15" s="1" t="str">
        <x:v>=B6*B7/100/2</x:v>
      </x:c>
    </x:row>
    <x:row r="16" ht="25" customHeight="1">
      <x:c r="A16" s="1" t="str">
        <x:v>Number of payments</x:v>
      </x:c>
      <x:c r="B16" s="9" t="str">
        <x:f>IF(COUNT(B8)&lt;1,"",B8*2)</x:f>
      </x:c>
      <x:c r="C16" s="1" t="str">
        <x:v>N = 2 x maturity in years</x:v>
      </x:c>
      <x:c r="D16" s="1" t="str">
        <x:v>=B8*2</x:v>
      </x:c>
    </x:row>
    <x:row r="17" ht="25" customHeight="1">
      <x:c r="A17" s="1"/>
      <x:c r="B17" s="1"/>
      <x:c r="C17" s="1"/>
      <x:c r="D17" s="1"/>
    </x:row>
    <x:row r="18" ht="25" customHeight="1">
      <x:c r="A18" s="7" t="str">
        <x:v>Issuance valuation</x:v>
      </x:c>
      <x:c r="B18" s="7" t="str">
        <x:v>Result</x:v>
      </x:c>
      <x:c r="C18" s="7" t="str">
        <x:v>Financial formula</x:v>
      </x:c>
      <x:c r="D18" s="7" t="str">
        <x:v>Excel formula</x:v>
      </x:c>
    </x:row>
    <x:row r="19" ht="25" customHeight="1">
      <x:c r="A19" s="1" t="str">
        <x:v>a) Initial credit spread (bp)</x:v>
      </x:c>
      <x:c r="B19" s="8" t="str">
        <x:f>IF(COUNT(B10:B11)&lt;2,"",B10/100*(1-B11/100)*10000)</x:f>
      </x:c>
      <x:c r="C19" s="1" t="str">
        <x:v>s â‰ˆ PD x (1 âˆ’ R); convert decimal spread to bp</x:v>
      </x:c>
      <x:c r="D19" s="1" t="str">
        <x:v>=B10/100*(1-B11/100)*10000</x:v>
      </x:c>
    </x:row>
    <x:row r="20" ht="25" customHeight="1">
      <x:c r="A20" s="1" t="str">
        <x:v>b) Initial YTM (%)</x:v>
      </x:c>
      <x:c r="B20" s="8" t="str">
        <x:f>IF(COUNT(B9:B11)&lt;3,"",B9+B19/100)</x:f>
      </x:c>
      <x:c r="C20" s="1" t="str">
        <x:v>YTM (%) = Treasury YTM (%) + spread (bp) / 100</x:v>
      </x:c>
      <x:c r="D20" s="1" t="str">
        <x:v>=B9+B19/100</x:v>
      </x:c>
    </x:row>
    <x:row r="21" ht="25" customHeight="1">
      <x:c r="A21" s="1" t="str">
        <x:v>c) Initial market value ($)</x:v>
      </x:c>
      <x:c r="B21" s="8" t="str">
        <x:f>IF(COUNT(B6:B11)&lt;6,"",-PV(B20/100/2,B16,B15,B6))</x:f>
      </x:c>
      <x:c r="C21" s="1" t="str">
        <x:v>Discount promised coupons and face value at the required YTM</x:v>
      </x:c>
      <x:c r="D21" s="1" t="str">
        <x:v>=-PV(B20/100/2,B16,B15,B6)</x:v>
      </x:c>
    </x:row>
    <x:row r="22" ht="25" customHeight="1">
      <x:c r="A22" s="1"/>
      <x:c r="B22" s="1"/>
      <x:c r="C22" s="1"/>
      <x:c r="D22" s="1"/>
    </x:row>
    <x:row r="23" ht="25" customHeight="1">
      <x:c r="A23" s="10" t="str">
        <x:v>Teaching approximation: spread â‰ˆ annual PD x (1 âˆ’ recovery). Other spread premiums are set to zero.</x:v>
      </x:c>
      <x:c r="B23" s="10"/>
      <x:c r="C23" s="10"/>
      <x:c r="D23" s="10"/>
    </x:row>
    <x:row r="24" ht="25" customHeight="1">
      <x:c r="A24" s="10" t="str">
        <x:v>Apply this constant annual spread over the bond life. Promised cash flows use semiannual discounting.</x:v>
      </x:c>
      <x:c r="B24" s="10"/>
      <x:c r="C24" s="10"/>
      <x:c r="D24" s="10"/>
    </x:row>
    <x:row r="25" ht="25" customHeight="1">
      <x:c r="A25" s="10" t="str">
        <x:v>Hypothetical option-free issuance. No accrued interest. Coupon rate is fixed; price need not equal face value.</x:v>
      </x:c>
      <x:c r="B25" s="10"/>
      <x:c r="C25" s="10"/>
      <x:c r="D25" s="10"/>
    </x:row>
    <x:row r="26" ht="25" customHeight="1">
      <x:c r="A26" s="10" t="str">
        <x:v>This is a simplified spread-based valuation, not an exact default-state cash-flow model.</x:v>
      </x:c>
      <x:c r="B26" s="10"/>
      <x:c r="C26" s="10"/>
      <x:c r="D26" s="10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</x:cols>
  <x:sheetData>
    <x:row r="1" ht="27" customHeight="1">
      <x:c r="A1" s="2" t="str">
        <x:v>Lecture 11: Five-bond portfolio</x:v>
      </x:c>
      <x:c r="B1" s="1"/>
      <x:c r="C1" s="1"/>
      <x:c r="D1" s="1"/>
      <x:c r="E1" s="1"/>
      <x:c r="F1" s="1"/>
    </x:row>
    <x:row r="2" ht="27" customHeight="1">
      <x:c r="A2" s="1" t="str">
        <x:v>Copy your Treasury yield and all five PD/recovery pairs from your HTML case.</x:v>
      </x:c>
      <x:c r="B2" s="1"/>
      <x:c r="C2" s="1"/>
      <x:c r="D2" s="1"/>
      <x:c r="E2" s="1"/>
      <x:c r="F2" s="1"/>
    </x:row>
    <x:row r="3" ht="27" customHeight="1">
      <x:c r="A3" s="1" t="str">
        <x:v>Yellow = inputs. Enter 4 for 4%. All bonds: USD, 3 years, semiannual yield convention.</x:v>
      </x:c>
      <x:c r="B3" s="1"/>
      <x:c r="C3" s="1"/>
      <x:c r="D3" s="1"/>
      <x:c r="E3" s="1"/>
      <x:c r="F3" s="1"/>
    </x:row>
    <x:row r="4" ht="27" customHeight="1">
      <x:c r="A4" s="1"/>
      <x:c r="B4" s="1"/>
      <x:c r="C4" s="1"/>
      <x:c r="D4" s="1"/>
      <x:c r="E4" s="1"/>
      <x:c r="F4" s="1"/>
    </x:row>
    <x:row r="5" ht="27" customHeight="1">
      <x:c r="A5" s="1" t="str">
        <x:v>Treasury YTM (%)</x:v>
      </x:c>
      <x:c r="B5" s="12"/>
      <x:c r="C5" s="1"/>
      <x:c r="D5" s="1"/>
      <x:c r="E5" s="1"/>
      <x:c r="F5" s="1"/>
    </x:row>
    <x:row r="6" ht="27" customHeight="1">
      <x:c r="A6" s="1"/>
      <x:c r="B6" s="1"/>
      <x:c r="C6" s="1"/>
      <x:c r="D6" s="1"/>
      <x:c r="E6" s="1"/>
      <x:c r="F6" s="1"/>
    </x:row>
    <x:row r="7" ht="27" customHeight="1">
      <x:c r="A7" s="1"/>
      <x:c r="B7" s="1"/>
      <x:c r="C7" s="1"/>
      <x:c r="D7" s="1"/>
      <x:c r="E7" s="1"/>
      <x:c r="F7" s="1"/>
    </x:row>
    <x:row r="8" ht="27" customHeight="1">
      <x:c r="A8" s="7" t="str">
        <x:v>Bond</x:v>
      </x:c>
      <x:c r="B8" s="7" t="str">
        <x:v>Weight</x:v>
      </x:c>
      <x:c r="C8" s="7" t="str">
        <x:v>Annual PD (%)</x:v>
      </x:c>
      <x:c r="D8" s="7" t="str">
        <x:v>Recovery (%)</x:v>
      </x:c>
      <x:c r="E8" s="7" t="str">
        <x:v>Spread (bp)</x:v>
      </x:c>
      <x:c r="F8" s="7" t="str">
        <x:v>YTM (%)</x:v>
      </x:c>
    </x:row>
    <x:row r="9" ht="27" customHeight="1">
      <x:c r="A9" s="1" t="str">
        <x:v>Bond A</x:v>
      </x:c>
      <x:c r="B9" s="11" t="n">
        <x:v>0.2</x:v>
      </x:c>
      <x:c r="C9" s="12"/>
      <x:c r="D9" s="12"/>
      <x:c r="E9" s="13" t="str">
        <x:f>IF(COUNT(C9:D9)&lt;2,"",C9/100*(1-D9/100)*10000)</x:f>
      </x:c>
      <x:c r="F9" s="13" t="str">
        <x:f>IF(COUNT($B$5,E9)&lt;2,"",$B$5+E9/100)</x:f>
      </x:c>
    </x:row>
    <x:row r="10" ht="27" customHeight="1">
      <x:c r="A10" s="1" t="str">
        <x:v>Bond B</x:v>
      </x:c>
      <x:c r="B10" s="11" t="n">
        <x:v>0.2</x:v>
      </x:c>
      <x:c r="C10" s="12"/>
      <x:c r="D10" s="12"/>
      <x:c r="E10" s="13" t="str">
        <x:f>IF(COUNT(C10:D10)&lt;2,"",C10/100*(1-D10/100)*10000)</x:f>
      </x:c>
      <x:c r="F10" s="13" t="str">
        <x:f>IF(COUNT($B$5,E10)&lt;2,"",$B$5+E10/100)</x:f>
      </x:c>
    </x:row>
    <x:row r="11" ht="27" customHeight="1">
      <x:c r="A11" s="1" t="str">
        <x:v>Bond C</x:v>
      </x:c>
      <x:c r="B11" s="11" t="n">
        <x:v>0.2</x:v>
      </x:c>
      <x:c r="C11" s="12"/>
      <x:c r="D11" s="12"/>
      <x:c r="E11" s="13" t="str">
        <x:f>IF(COUNT(C11:D11)&lt;2,"",C11/100*(1-D11/100)*10000)</x:f>
      </x:c>
      <x:c r="F11" s="13" t="str">
        <x:f>IF(COUNT($B$5,E11)&lt;2,"",$B$5+E11/100)</x:f>
      </x:c>
    </x:row>
    <x:row r="12" ht="27" customHeight="1">
      <x:c r="A12" s="1" t="str">
        <x:v>Bond D</x:v>
      </x:c>
      <x:c r="B12" s="11" t="n">
        <x:v>0.2</x:v>
      </x:c>
      <x:c r="C12" s="12"/>
      <x:c r="D12" s="12"/>
      <x:c r="E12" s="13" t="str">
        <x:f>IF(COUNT(C12:D12)&lt;2,"",C12/100*(1-D12/100)*10000)</x:f>
      </x:c>
      <x:c r="F12" s="13" t="str">
        <x:f>IF(COUNT($B$5,E12)&lt;2,"",$B$5+E12/100)</x:f>
      </x:c>
    </x:row>
    <x:row r="13" ht="27" customHeight="1">
      <x:c r="A13" s="1" t="str">
        <x:v>Bond E</x:v>
      </x:c>
      <x:c r="B13" s="11" t="n">
        <x:v>0.2</x:v>
      </x:c>
      <x:c r="C13" s="12"/>
      <x:c r="D13" s="12"/>
      <x:c r="E13" s="13" t="str">
        <x:f>IF(COUNT(C13:D13)&lt;2,"",C13/100*(1-D13/100)*10000)</x:f>
      </x:c>
      <x:c r="F13" s="13" t="str">
        <x:f>IF(COUNT($B$5,E13)&lt;2,"",$B$5+E13/100)</x:f>
      </x:c>
    </x:row>
    <x:row r="14" ht="27" customHeight="1">
      <x:c r="A14" s="1"/>
      <x:c r="B14" s="1"/>
      <x:c r="C14" s="1"/>
      <x:c r="D14" s="1"/>
      <x:c r="E14" s="1"/>
      <x:c r="F14" s="1"/>
    </x:row>
    <x:row r="15" ht="27" customHeight="1">
      <x:c r="A15" s="14" t="str">
        <x:v>Portfolio average</x:v>
      </x:c>
      <x:c r="B15" s="14"/>
      <x:c r="C15" s="14"/>
      <x:c r="D15" s="14"/>
      <x:c r="E15" s="15" t="str">
        <x:f>IF(COUNT(E9:E13)&lt;5,"",SUMPRODUCT(B9:B13,E9:E13))</x:f>
      </x:c>
      <x:c r="F15" s="15" t="str">
        <x:f>IF(COUNT(F9:F13)&lt;5,"",SUMPRODUCT(B9:B13,F9:F13))</x:f>
      </x:c>
    </x:row>
    <x:row r="16" ht="27" customHeight="1">
      <x:c r="A16" s="1"/>
      <x:c r="B16" s="1"/>
      <x:c r="C16" s="1"/>
      <x:c r="D16" s="1"/>
      <x:c r="E16" s="1"/>
      <x:c r="F16" s="1"/>
    </x:row>
    <x:row r="17" ht="27" customHeight="1">
      <x:c r="A17" s="1"/>
      <x:c r="B17" s="1"/>
      <x:c r="C17" s="1"/>
      <x:c r="D17" s="1"/>
      <x:c r="E17" s="1"/>
      <x:c r="F17" s="1"/>
    </x:row>
    <x:row r="18" ht="27" customHeight="1">
      <x:c r="A18" s="1" t="str">
        <x:v>Spread (bp) = PD (%) / 100 × (1 − recovery (%) / 100) × 10,000</x:v>
      </x:c>
      <x:c r="B18" s="1"/>
      <x:c r="C18" s="1"/>
      <x:c r="D18" s="1"/>
      <x:c r="E18" s="1"/>
      <x:c r="F18" s="1"/>
    </x:row>
    <x:row r="19" ht="27" customHeight="1">
      <x:c r="A19" s="1" t="str">
        <x:v>YTM (%) = Treasury YTM (%) + spread (bp) / 100</x:v>
      </x:c>
      <x:c r="B19" s="1"/>
      <x:c r="C19" s="1"/>
      <x:c r="D19" s="1"/>
      <x:c r="E19" s="1"/>
      <x:c r="F19" s="1"/>
    </x:row>
    <x:row r="20" ht="27" customHeight="1">
      <x:c r="A20" s="1" t="str">
        <x:v>Portfolio averages = SUMPRODUCT(market-value weights, bond spread or YTM)</x:v>
      </x:c>
      <x:c r="B20" s="1"/>
      <x:c r="C20" s="1"/>
      <x:c r="D20" s="1"/>
      <x:c r="E20" s="1"/>
      <x:c r="F20" s="1"/>
    </x:row>
    <x:row r="21" ht="27" customHeight="1">
      <x:c r="A21" s="1"/>
      <x:c r="B21" s="1"/>
      <x:c r="C21" s="1"/>
      <x:c r="D21" s="1"/>
      <x:c r="E21" s="1"/>
      <x:c r="F21" s="1"/>
    </x:row>
    <x:row r="22" ht="27" customHeight="1">
      <x:c r="A22" s="1" t="str">
        <x:v>Teaching approximation: annual PD and recovery held constant; other spread premiums = 0.</x:v>
      </x:c>
      <x:c r="B22" s="1"/>
      <x:c r="C22" s="1"/>
      <x:c r="D22" s="1"/>
      <x:c r="E22" s="1"/>
      <x:c r="F22" s="1"/>
    </x:row>
    <x:row r="23" ht="27" customHeight="1">
      <x:c r="A23" s="1" t="str">
        <x:v>20% means equal dollars invested at market value, not equal face values.</x:v>
      </x:c>
      <x:c r="B23" s="1"/>
      <x:c r="C23" s="1"/>
      <x:c r="D23" s="1"/>
      <x:c r="E23" s="1"/>
      <x:c r="F23" s="1"/>
    </x:row>
    <x:row r="24" ht="27" customHeight="1">
      <x:c r="A24" s="1" t="str">
        <x:v>The weighted-average YTM is not the exact IRR of the combined portfolio cash flows.</x:v>
      </x:c>
      <x:c r="B24" s="1"/>
      <x:c r="C24" s="1"/>
      <x:c r="D24" s="1"/>
      <x:c r="E24" s="1"/>
      <x:c r="F24" s="1"/>
    </x:row>
  </x:sheetData>
  <x:pageMargins left="0.7" right="0.7" top="0.75" bottom="0.75" header="0.3" footer="0.3"/>
</x:worksheet>
</file>